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.kloppe\Downloads\J18011_+ONT_GalaxyFiles\"/>
    </mc:Choice>
  </mc:AlternateContent>
  <xr:revisionPtr revIDLastSave="0" documentId="13_ncr:1_{D8F5FB7D-CF28-4056-96E2-2CA4325F34AA}" xr6:coauthVersionLast="47" xr6:coauthVersionMax="47" xr10:uidLastSave="{00000000-0000-0000-0000-000000000000}"/>
  <bookViews>
    <workbookView xWindow="9" yWindow="9" windowWidth="16440" windowHeight="8640" xr2:uid="{50145C83-8A20-4F31-B74A-1992D79661CA}"/>
  </bookViews>
  <sheets>
    <sheet name="J180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8" i="1" l="1"/>
  <c r="B58" i="1"/>
  <c r="C58" i="1"/>
  <c r="B29" i="1"/>
  <c r="C29" i="1"/>
  <c r="G14" i="1"/>
  <c r="F14" i="1"/>
  <c r="E14" i="1"/>
  <c r="D14" i="1"/>
  <c r="C14" i="1"/>
  <c r="B19" i="1"/>
  <c r="B14" i="1"/>
</calcChain>
</file>

<file path=xl/sharedStrings.xml><?xml version="1.0" encoding="utf-8"?>
<sst xmlns="http://schemas.openxmlformats.org/spreadsheetml/2006/main" count="159" uniqueCount="133">
  <si>
    <t>Mean read length</t>
  </si>
  <si>
    <t>16,229</t>
  </si>
  <si>
    <t>Mean read quality</t>
  </si>
  <si>
    <t>26.5</t>
  </si>
  <si>
    <t>Number of reads</t>
  </si>
  <si>
    <t>1,887,328</t>
  </si>
  <si>
    <t>Read length N50</t>
  </si>
  <si>
    <t>16,327</t>
  </si>
  <si>
    <t>Total bases</t>
  </si>
  <si>
    <t>30,629,273,041</t>
  </si>
  <si>
    <t>longest reads and their mean basecall quality score: 1</t>
  </si>
  <si>
    <t>51940 (20.9)</t>
  </si>
  <si>
    <t>35526 (19.4)</t>
  </si>
  <si>
    <t>32514 (20.8)</t>
  </si>
  <si>
    <t>28345 (33.9)</t>
  </si>
  <si>
    <t>24205 (32.4)</t>
  </si>
  <si>
    <t>Number of Hi-C reads</t>
  </si>
  <si>
    <t>95,368,683</t>
  </si>
  <si>
    <t>Number of Hi-C data in bp</t>
  </si>
  <si>
    <t>14,305,302,450</t>
  </si>
  <si>
    <t>25.9</t>
  </si>
  <si>
    <t>10.4</t>
  </si>
  <si>
    <t>13.7</t>
  </si>
  <si>
    <t>12.4</t>
  </si>
  <si>
    <t>1,862,751</t>
  </si>
  <si>
    <t>1,548,283</t>
  </si>
  <si>
    <t>16,329</t>
  </si>
  <si>
    <t>16,332</t>
  </si>
  <si>
    <t>30,234,024,363</t>
  </si>
  <si>
    <t>25,132,048,046</t>
  </si>
  <si>
    <t>1,671,971,444</t>
  </si>
  <si>
    <t>1,635,850,717</t>
  </si>
  <si>
    <t>1,260,612,021</t>
  </si>
  <si>
    <t>587597 (2.7)</t>
  </si>
  <si>
    <t>470147 (2.2)</t>
  </si>
  <si>
    <t>277695 (2.5)</t>
  </si>
  <si>
    <t>218172 (5.9)</t>
  </si>
  <si>
    <t>155579 (1.5)</t>
  </si>
  <si>
    <t>HiFi_FCSclean</t>
  </si>
  <si>
    <t>HiFi_FCSclean_nuclear</t>
  </si>
  <si>
    <t>HiFi_original</t>
  </si>
  <si>
    <t>ONT_original</t>
  </si>
  <si>
    <t>ONT_FCSclean</t>
  </si>
  <si>
    <t>ONT_FCSclean_nuclear</t>
  </si>
  <si>
    <t>sequencing depth for a 180Mb genome</t>
  </si>
  <si>
    <t>input:</t>
  </si>
  <si>
    <t>J18011_ONT_2025-11-20_prim_yahsScaf.FINAL.fasta</t>
  </si>
  <si>
    <t>compleasm run options:</t>
  </si>
  <si>
    <t>compleasm run -t 24 -l eukaryota -l basidiomycota_odb12 -L /pucciniakloppe/busco_library</t>
  </si>
  <si>
    <t>S:79.83%, 1923</t>
  </si>
  <si>
    <t>S:88.88%, 2141</t>
  </si>
  <si>
    <t>D (duplicated genes):</t>
  </si>
  <si>
    <t>D:12.41%, 299</t>
  </si>
  <si>
    <t>D:4.32%, 104</t>
  </si>
  <si>
    <t>F (fragmented genes):</t>
  </si>
  <si>
    <t>F:2.24%, 54</t>
  </si>
  <si>
    <t>F:2.08%, 50</t>
  </si>
  <si>
    <t>I (???):</t>
  </si>
  <si>
    <t>I:0.00%, 0</t>
  </si>
  <si>
    <t>M (missing genes):</t>
  </si>
  <si>
    <t>M:5.52%, 133</t>
  </si>
  <si>
    <t>M:4.73%, 114</t>
  </si>
  <si>
    <t>N ( genes assessed):</t>
  </si>
  <si>
    <t>Completeness [%]:</t>
  </si>
  <si>
    <t>GCF_021901695.1_Pst134E36_v1_pri_genomic.fna</t>
  </si>
  <si>
    <t># contigs (&gt;= 0 bp)</t>
  </si>
  <si>
    <t># contigs (&gt;= 1000 bp)</t>
  </si>
  <si>
    <t># contigs (&gt;= 5000 bp)</t>
  </si>
  <si>
    <t># contigs (&gt;= 10000 bp)</t>
  </si>
  <si>
    <t># contigs (&gt;= 25000 bp)</t>
  </si>
  <si>
    <t># contigs (&gt;= 50000 bp)</t>
  </si>
  <si>
    <t>Total length (&gt;= 0 bp)</t>
  </si>
  <si>
    <t>89,491,239</t>
  </si>
  <si>
    <t>Total length (&gt;= 1000 bp)</t>
  </si>
  <si>
    <t>Total length (&gt;= 5000 bp)</t>
  </si>
  <si>
    <t>89,483,698</t>
  </si>
  <si>
    <t>Total length (&gt;= 10000 bp)</t>
  </si>
  <si>
    <t>89,390,655</t>
  </si>
  <si>
    <t>Total length (&gt;= 25000 bp)</t>
  </si>
  <si>
    <t>89,181,103</t>
  </si>
  <si>
    <t>Total length (&gt;= 50000 bp)</t>
  </si>
  <si>
    <t>87,508,934</t>
  </si>
  <si>
    <t># contigs</t>
  </si>
  <si>
    <t>Largest contig</t>
  </si>
  <si>
    <t>5,908,853</t>
  </si>
  <si>
    <t>Total length</t>
  </si>
  <si>
    <t>GC (%)</t>
  </si>
  <si>
    <t>44.34</t>
  </si>
  <si>
    <t>38.80</t>
  </si>
  <si>
    <t>39.79</t>
  </si>
  <si>
    <t>41.05</t>
  </si>
  <si>
    <t>N50</t>
  </si>
  <si>
    <t>4,700,190</t>
  </si>
  <si>
    <t>N90</t>
  </si>
  <si>
    <t>auN</t>
  </si>
  <si>
    <t>4,229,995.3</t>
  </si>
  <si>
    <t>2029125.7</t>
  </si>
  <si>
    <t>2569497.8</t>
  </si>
  <si>
    <t>3317788.1</t>
  </si>
  <si>
    <t>L50</t>
  </si>
  <si>
    <t>L90</t>
  </si>
  <si>
    <t># N's per 100 kbp</t>
  </si>
  <si>
    <t>15.42</t>
  </si>
  <si>
    <t>0.80</t>
  </si>
  <si>
    <t>0.58</t>
  </si>
  <si>
    <t>0.47</t>
  </si>
  <si>
    <t>primiary aligned FCS-GX-cleaned HiFireads in backmapping to assembly (line 2- line 8)</t>
  </si>
  <si>
    <t>Nanoplot</t>
  </si>
  <si>
    <t>Hi-C reads stats</t>
  </si>
  <si>
    <t>16,230</t>
  </si>
  <si>
    <t>16,232</t>
  </si>
  <si>
    <t>4,645</t>
  </si>
  <si>
    <t>8,074</t>
  </si>
  <si>
    <t>202,608</t>
  </si>
  <si>
    <t>24,261</t>
  </si>
  <si>
    <t>9,090</t>
  </si>
  <si>
    <t>138,685</t>
  </si>
  <si>
    <t>27,690</t>
  </si>
  <si>
    <t>S (complete single-copy genes):</t>
  </si>
  <si>
    <t>BUSCO analysis in Compleasm</t>
  </si>
  <si>
    <t>Quast analysis</t>
  </si>
  <si>
    <t>137,535,334</t>
  </si>
  <si>
    <t>174,713,965</t>
  </si>
  <si>
    <t>106,290,656</t>
  </si>
  <si>
    <t>109,250,414</t>
  </si>
  <si>
    <t>113,882,242</t>
  </si>
  <si>
    <t>98,745,565</t>
  </si>
  <si>
    <t>J18011_ONT_2025-11-20
_prim_yahsScaf.FINAL.fasta</t>
  </si>
  <si>
    <t>J18011_2025-10-10
_prim_yahsScaf.FINAL.fasta</t>
  </si>
  <si>
    <t>Pst134E36_2022-00-00_prim.FINAL</t>
  </si>
  <si>
    <t>FS54_2025-10-10
_prim_yahsScaf.FINAL.reordered</t>
  </si>
  <si>
    <t>359,944</t>
  </si>
  <si>
    <t>23,880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</si>
</sst>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 %"/>
  </numFmts>
  <fonts count="3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  <font>
      <b/>
      <sz val="10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/>
    <xf numFmtId="0" fontId="2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horizontal="right" wrapText="1"/>
    </xf>
    <xf numFmtId="49" fontId="1" fillId="0" borderId="1" xfId="0" applyNumberFormat="1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center"/>
    </xf>
    <xf numFmtId="49" fontId="1" fillId="0" borderId="4" xfId="0" applyNumberFormat="1" applyFont="1" applyFill="1" applyBorder="1" applyAlignment="1">
      <alignment horizontal="center"/>
    </xf>
    <xf numFmtId="49" fontId="1" fillId="3" borderId="5" xfId="0" applyNumberFormat="1" applyFont="1" applyFill="1" applyBorder="1" applyAlignment="1">
      <alignment horizontal="center"/>
    </xf>
    <xf numFmtId="0" fontId="1" fillId="0" borderId="0" xfId="0" applyFont="1" applyFill="1"/>
    <xf numFmtId="0" fontId="1" fillId="0" borderId="6" xfId="0" applyFont="1" applyBorder="1"/>
    <xf numFmtId="0" fontId="1" fillId="0" borderId="0" xfId="0" applyFont="1" applyBorder="1"/>
    <xf numFmtId="0" fontId="1" fillId="0" borderId="7" xfId="0" applyFont="1" applyBorder="1"/>
    <xf numFmtId="0" fontId="1" fillId="0" borderId="1" xfId="0" applyFont="1" applyFill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1" fontId="1" fillId="0" borderId="1" xfId="0" applyNumberFormat="1" applyFont="1" applyFill="1" applyBorder="1"/>
    <xf numFmtId="1" fontId="1" fillId="0" borderId="1" xfId="0" applyNumberFormat="1" applyFont="1" applyBorder="1"/>
    <xf numFmtId="1" fontId="1" fillId="0" borderId="2" xfId="0" applyNumberFormat="1" applyFont="1" applyBorder="1"/>
    <xf numFmtId="1" fontId="1" fillId="0" borderId="8" xfId="0" applyNumberFormat="1" applyFont="1" applyBorder="1"/>
    <xf numFmtId="1" fontId="1" fillId="0" borderId="9" xfId="0" applyNumberFormat="1" applyFont="1" applyBorder="1"/>
    <xf numFmtId="1" fontId="1" fillId="0" borderId="10" xfId="0" applyNumberFormat="1" applyFont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/>
    <xf numFmtId="0" fontId="1" fillId="2" borderId="1" xfId="0" applyFont="1" applyFill="1" applyBorder="1" applyAlignment="1">
      <alignment horizontal="right"/>
    </xf>
    <xf numFmtId="49" fontId="1" fillId="2" borderId="1" xfId="0" applyNumberFormat="1" applyFont="1" applyFill="1" applyBorder="1" applyAlignment="1">
      <alignment horizontal="right"/>
    </xf>
    <xf numFmtId="2" fontId="1" fillId="2" borderId="1" xfId="0" applyNumberFormat="1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1" fillId="5" borderId="0" xfId="0" applyFont="1" applyFill="1"/>
    <xf numFmtId="0" fontId="2" fillId="5" borderId="0" xfId="0" applyFont="1" applyFill="1"/>
    <xf numFmtId="0" fontId="1" fillId="0" borderId="1" xfId="0" applyFont="1" applyBorder="1" applyAlignment="1">
      <alignment horizont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FFCC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8A829-2185-47D5-9C3B-7C07B6F7126D}">
  <dimension ref="A1:G58"/>
  <sheetViews>
    <sheetView tabSelected="1" topLeftCell="A27" zoomScale="130" zoomScaleNormal="130" workbookViewId="0">
      <selection activeCell="C62" sqref="C62"/>
    </sheetView>
  </sheetViews>
  <sheetFormatPr baseColWidth="10" defaultRowHeight="12.45"/>
  <cols>
    <col min="1" max="1" width="22.85546875" style="2" customWidth="1"/>
    <col min="2" max="2" width="13.28515625" style="2" bestFit="1" customWidth="1"/>
    <col min="3" max="3" width="13.28515625" style="2" customWidth="1"/>
    <col min="4" max="4" width="12.640625" style="2" customWidth="1"/>
    <col min="5" max="5" width="13.35546875" style="2" customWidth="1"/>
    <col min="6" max="6" width="13.140625" style="2" customWidth="1"/>
    <col min="7" max="7" width="13.35546875" style="2" customWidth="1"/>
    <col min="8" max="16384" width="10.85546875" style="2"/>
  </cols>
  <sheetData>
    <row r="1" spans="1:7" ht="12.9" thickBot="1">
      <c r="A1" s="44" t="s">
        <v>107</v>
      </c>
      <c r="B1" s="45"/>
      <c r="C1" s="45"/>
      <c r="D1" s="45"/>
      <c r="E1" s="45"/>
      <c r="F1" s="45"/>
      <c r="G1" s="45"/>
    </row>
    <row r="2" spans="1:7" ht="24.9">
      <c r="A2" s="3"/>
      <c r="B2" s="29" t="s">
        <v>40</v>
      </c>
      <c r="C2" s="30" t="s">
        <v>38</v>
      </c>
      <c r="D2" s="31" t="s">
        <v>39</v>
      </c>
      <c r="E2" s="32" t="s">
        <v>41</v>
      </c>
      <c r="F2" s="33" t="s">
        <v>42</v>
      </c>
      <c r="G2" s="34" t="s">
        <v>43</v>
      </c>
    </row>
    <row r="3" spans="1:7">
      <c r="A3" s="4" t="s">
        <v>0</v>
      </c>
      <c r="B3" s="5" t="s">
        <v>1</v>
      </c>
      <c r="C3" s="6" t="s">
        <v>109</v>
      </c>
      <c r="D3" s="7" t="s">
        <v>110</v>
      </c>
      <c r="E3" s="8" t="s">
        <v>111</v>
      </c>
      <c r="F3" s="6" t="s">
        <v>112</v>
      </c>
      <c r="G3" s="9" t="s">
        <v>115</v>
      </c>
    </row>
    <row r="4" spans="1:7">
      <c r="A4" s="4" t="s">
        <v>2</v>
      </c>
      <c r="B4" s="5" t="s">
        <v>3</v>
      </c>
      <c r="C4" s="6" t="s">
        <v>3</v>
      </c>
      <c r="D4" s="7" t="s">
        <v>20</v>
      </c>
      <c r="E4" s="8" t="s">
        <v>21</v>
      </c>
      <c r="F4" s="6" t="s">
        <v>22</v>
      </c>
      <c r="G4" s="9" t="s">
        <v>23</v>
      </c>
    </row>
    <row r="5" spans="1:7">
      <c r="A5" s="4" t="s">
        <v>4</v>
      </c>
      <c r="B5" s="5" t="s">
        <v>5</v>
      </c>
      <c r="C5" s="10" t="s">
        <v>24</v>
      </c>
      <c r="D5" s="11" t="s">
        <v>25</v>
      </c>
      <c r="E5" s="12" t="s">
        <v>131</v>
      </c>
      <c r="F5" s="10" t="s">
        <v>113</v>
      </c>
      <c r="G5" s="13" t="s">
        <v>116</v>
      </c>
    </row>
    <row r="6" spans="1:7">
      <c r="A6" s="4" t="s">
        <v>6</v>
      </c>
      <c r="B6" s="5" t="s">
        <v>7</v>
      </c>
      <c r="C6" s="6" t="s">
        <v>26</v>
      </c>
      <c r="D6" s="7" t="s">
        <v>27</v>
      </c>
      <c r="E6" s="8" t="s">
        <v>132</v>
      </c>
      <c r="F6" s="6" t="s">
        <v>114</v>
      </c>
      <c r="G6" s="9" t="s">
        <v>117</v>
      </c>
    </row>
    <row r="7" spans="1:7">
      <c r="A7" s="4" t="s">
        <v>8</v>
      </c>
      <c r="B7" s="5" t="s">
        <v>9</v>
      </c>
      <c r="C7" s="10" t="s">
        <v>28</v>
      </c>
      <c r="D7" s="11" t="s">
        <v>29</v>
      </c>
      <c r="E7" s="12" t="s">
        <v>30</v>
      </c>
      <c r="F7" s="10" t="s">
        <v>31</v>
      </c>
      <c r="G7" s="13" t="s">
        <v>32</v>
      </c>
    </row>
    <row r="8" spans="1:7" ht="24.9">
      <c r="A8" s="4" t="s">
        <v>10</v>
      </c>
      <c r="B8" s="5" t="s">
        <v>11</v>
      </c>
      <c r="C8" s="6" t="s">
        <v>11</v>
      </c>
      <c r="D8" s="7" t="s">
        <v>11</v>
      </c>
      <c r="E8" s="8" t="s">
        <v>33</v>
      </c>
      <c r="F8" s="6" t="s">
        <v>33</v>
      </c>
      <c r="G8" s="9" t="s">
        <v>33</v>
      </c>
    </row>
    <row r="9" spans="1:7">
      <c r="A9" s="4">
        <v>2</v>
      </c>
      <c r="B9" s="5" t="s">
        <v>12</v>
      </c>
      <c r="C9" s="6" t="s">
        <v>12</v>
      </c>
      <c r="D9" s="7" t="s">
        <v>12</v>
      </c>
      <c r="E9" s="8" t="s">
        <v>34</v>
      </c>
      <c r="F9" s="6" t="s">
        <v>34</v>
      </c>
      <c r="G9" s="9" t="s">
        <v>34</v>
      </c>
    </row>
    <row r="10" spans="1:7">
      <c r="A10" s="4">
        <v>3</v>
      </c>
      <c r="B10" s="5" t="s">
        <v>13</v>
      </c>
      <c r="C10" s="6" t="s">
        <v>13</v>
      </c>
      <c r="D10" s="7" t="s">
        <v>13</v>
      </c>
      <c r="E10" s="8" t="s">
        <v>35</v>
      </c>
      <c r="F10" s="6" t="s">
        <v>35</v>
      </c>
      <c r="G10" s="9" t="s">
        <v>35</v>
      </c>
    </row>
    <row r="11" spans="1:7">
      <c r="A11" s="4">
        <v>4</v>
      </c>
      <c r="B11" s="5" t="s">
        <v>14</v>
      </c>
      <c r="C11" s="6" t="s">
        <v>14</v>
      </c>
      <c r="D11" s="7" t="s">
        <v>14</v>
      </c>
      <c r="E11" s="8" t="s">
        <v>36</v>
      </c>
      <c r="F11" s="6" t="s">
        <v>36</v>
      </c>
      <c r="G11" s="9" t="s">
        <v>36</v>
      </c>
    </row>
    <row r="12" spans="1:7">
      <c r="A12" s="4">
        <v>5</v>
      </c>
      <c r="B12" s="5" t="s">
        <v>15</v>
      </c>
      <c r="C12" s="6" t="s">
        <v>15</v>
      </c>
      <c r="D12" s="7" t="s">
        <v>15</v>
      </c>
      <c r="E12" s="8" t="s">
        <v>37</v>
      </c>
      <c r="F12" s="6" t="s">
        <v>37</v>
      </c>
      <c r="G12" s="9" t="s">
        <v>37</v>
      </c>
    </row>
    <row r="13" spans="1:7" ht="6" customHeight="1">
      <c r="A13" s="14"/>
      <c r="B13" s="14"/>
      <c r="E13" s="15"/>
      <c r="F13" s="16"/>
      <c r="G13" s="17"/>
    </row>
    <row r="14" spans="1:7" ht="25.3" thickBot="1">
      <c r="A14" s="18" t="s">
        <v>44</v>
      </c>
      <c r="B14" s="23">
        <f>30629273041/180000000</f>
        <v>170.16262800555555</v>
      </c>
      <c r="C14" s="24">
        <f>30234024363/180000000</f>
        <v>167.96680201666666</v>
      </c>
      <c r="D14" s="25">
        <f>25132048046/180000000</f>
        <v>139.62248914444444</v>
      </c>
      <c r="E14" s="26">
        <f>1671971444/180000000</f>
        <v>9.2887302444444444</v>
      </c>
      <c r="F14" s="27">
        <f>1635850717/180000000</f>
        <v>9.0880595388888885</v>
      </c>
      <c r="G14" s="28">
        <f>1260612021/180000000</f>
        <v>7.0034001166666666</v>
      </c>
    </row>
    <row r="16" spans="1:7">
      <c r="A16" s="44" t="s">
        <v>108</v>
      </c>
      <c r="B16" s="45"/>
    </row>
    <row r="17" spans="1:3">
      <c r="A17" s="19" t="s">
        <v>16</v>
      </c>
      <c r="B17" s="20" t="s">
        <v>17</v>
      </c>
    </row>
    <row r="18" spans="1:3">
      <c r="A18" s="19" t="s">
        <v>18</v>
      </c>
      <c r="B18" s="20" t="s">
        <v>19</v>
      </c>
    </row>
    <row r="19" spans="1:3">
      <c r="A19" s="19" t="s">
        <v>44</v>
      </c>
      <c r="B19" s="43">
        <f>95368683*150/180000000</f>
        <v>79.473902499999994</v>
      </c>
    </row>
    <row r="21" spans="1:3">
      <c r="A21" s="46" t="s">
        <v>119</v>
      </c>
      <c r="B21" s="45"/>
      <c r="C21" s="45"/>
    </row>
    <row r="22" spans="1:3" ht="49.75">
      <c r="A22" s="21" t="s">
        <v>45</v>
      </c>
      <c r="B22" s="1" t="s">
        <v>46</v>
      </c>
      <c r="C22" s="1" t="s">
        <v>64</v>
      </c>
    </row>
    <row r="23" spans="1:3" ht="24.9">
      <c r="A23" s="36" t="s">
        <v>118</v>
      </c>
      <c r="B23" s="19" t="s">
        <v>50</v>
      </c>
      <c r="C23" s="37" t="s">
        <v>49</v>
      </c>
    </row>
    <row r="24" spans="1:3">
      <c r="A24" s="21" t="s">
        <v>51</v>
      </c>
      <c r="B24" s="19" t="s">
        <v>53</v>
      </c>
      <c r="C24" s="37" t="s">
        <v>52</v>
      </c>
    </row>
    <row r="25" spans="1:3">
      <c r="A25" s="21" t="s">
        <v>54</v>
      </c>
      <c r="B25" s="19" t="s">
        <v>56</v>
      </c>
      <c r="C25" s="38" t="s">
        <v>55</v>
      </c>
    </row>
    <row r="26" spans="1:3">
      <c r="A26" s="21" t="s">
        <v>57</v>
      </c>
      <c r="B26" s="19" t="s">
        <v>58</v>
      </c>
      <c r="C26" s="38" t="s">
        <v>58</v>
      </c>
    </row>
    <row r="27" spans="1:3">
      <c r="A27" s="21" t="s">
        <v>59</v>
      </c>
      <c r="B27" s="19" t="s">
        <v>61</v>
      </c>
      <c r="C27" s="38" t="s">
        <v>60</v>
      </c>
    </row>
    <row r="28" spans="1:3">
      <c r="A28" s="21" t="s">
        <v>62</v>
      </c>
      <c r="B28" s="19">
        <v>2409</v>
      </c>
      <c r="C28" s="22">
        <v>2409</v>
      </c>
    </row>
    <row r="29" spans="1:3">
      <c r="A29" s="21" t="s">
        <v>63</v>
      </c>
      <c r="B29" s="42">
        <f>(2141+104+50)/B28*100</f>
        <v>95.267745952677458</v>
      </c>
      <c r="C29" s="42">
        <f>(1923+299+54)/C28*100</f>
        <v>94.47903694479038</v>
      </c>
    </row>
    <row r="30" spans="1:3" ht="39.549999999999997" customHeight="1">
      <c r="A30" s="21" t="s">
        <v>47</v>
      </c>
      <c r="B30" s="35" t="s">
        <v>48</v>
      </c>
      <c r="C30" s="35"/>
    </row>
    <row r="33" spans="1:5">
      <c r="A33" s="44" t="s">
        <v>120</v>
      </c>
      <c r="B33" s="45"/>
      <c r="C33" s="45"/>
      <c r="D33" s="45"/>
      <c r="E33" s="45"/>
    </row>
    <row r="34" spans="1:5" ht="49.75">
      <c r="A34" s="20" t="s">
        <v>45</v>
      </c>
      <c r="B34" s="1" t="s">
        <v>127</v>
      </c>
      <c r="C34" s="1" t="s">
        <v>128</v>
      </c>
      <c r="D34" s="1" t="s">
        <v>129</v>
      </c>
      <c r="E34" s="1" t="s">
        <v>130</v>
      </c>
    </row>
    <row r="35" spans="1:5">
      <c r="A35" s="20" t="s">
        <v>65</v>
      </c>
      <c r="B35" s="21">
        <v>1270</v>
      </c>
      <c r="C35" s="21">
        <v>2417</v>
      </c>
      <c r="D35" s="21">
        <v>184</v>
      </c>
      <c r="E35" s="21">
        <v>437</v>
      </c>
    </row>
    <row r="36" spans="1:5">
      <c r="A36" s="20" t="s">
        <v>66</v>
      </c>
      <c r="B36" s="21">
        <v>1270</v>
      </c>
      <c r="C36" s="21">
        <v>2417</v>
      </c>
      <c r="D36" s="21">
        <v>184</v>
      </c>
      <c r="E36" s="21">
        <v>437</v>
      </c>
    </row>
    <row r="37" spans="1:5">
      <c r="A37" s="20" t="s">
        <v>67</v>
      </c>
      <c r="B37" s="21">
        <v>1270</v>
      </c>
      <c r="C37" s="21">
        <v>2417</v>
      </c>
      <c r="D37" s="21">
        <v>182</v>
      </c>
      <c r="E37" s="21">
        <v>437</v>
      </c>
    </row>
    <row r="38" spans="1:5">
      <c r="A38" s="20" t="s">
        <v>68</v>
      </c>
      <c r="B38" s="21">
        <v>1270</v>
      </c>
      <c r="C38" s="21">
        <v>2417</v>
      </c>
      <c r="D38" s="21">
        <v>170</v>
      </c>
      <c r="E38" s="21">
        <v>437</v>
      </c>
    </row>
    <row r="39" spans="1:5">
      <c r="A39" s="20" t="s">
        <v>69</v>
      </c>
      <c r="B39" s="21">
        <v>1148</v>
      </c>
      <c r="C39" s="21">
        <v>2085</v>
      </c>
      <c r="D39" s="21">
        <v>157</v>
      </c>
      <c r="E39" s="21">
        <v>437</v>
      </c>
    </row>
    <row r="40" spans="1:5">
      <c r="A40" s="22" t="s">
        <v>70</v>
      </c>
      <c r="B40" s="40">
        <v>432</v>
      </c>
      <c r="C40" s="40">
        <v>509</v>
      </c>
      <c r="D40" s="40">
        <v>112</v>
      </c>
      <c r="E40" s="40">
        <v>257</v>
      </c>
    </row>
    <row r="41" spans="1:5">
      <c r="A41" s="20" t="s">
        <v>71</v>
      </c>
      <c r="B41" s="21">
        <v>137535334</v>
      </c>
      <c r="C41" s="21">
        <v>174713965</v>
      </c>
      <c r="D41" s="21" t="s">
        <v>72</v>
      </c>
      <c r="E41" s="21">
        <v>106290656</v>
      </c>
    </row>
    <row r="42" spans="1:5">
      <c r="A42" s="20" t="s">
        <v>73</v>
      </c>
      <c r="B42" s="21">
        <v>137535334</v>
      </c>
      <c r="C42" s="21">
        <v>174713965</v>
      </c>
      <c r="D42" s="21" t="s">
        <v>72</v>
      </c>
      <c r="E42" s="21">
        <v>106290656</v>
      </c>
    </row>
    <row r="43" spans="1:5">
      <c r="A43" s="20" t="s">
        <v>74</v>
      </c>
      <c r="B43" s="21">
        <v>137535334</v>
      </c>
      <c r="C43" s="21">
        <v>174713965</v>
      </c>
      <c r="D43" s="21" t="s">
        <v>75</v>
      </c>
      <c r="E43" s="21">
        <v>106290656</v>
      </c>
    </row>
    <row r="44" spans="1:5">
      <c r="A44" s="20" t="s">
        <v>76</v>
      </c>
      <c r="B44" s="21">
        <v>137535334</v>
      </c>
      <c r="C44" s="21">
        <v>174713965</v>
      </c>
      <c r="D44" s="21" t="s">
        <v>77</v>
      </c>
      <c r="E44" s="21">
        <v>106290656</v>
      </c>
    </row>
    <row r="45" spans="1:5">
      <c r="A45" s="20" t="s">
        <v>78</v>
      </c>
      <c r="B45" s="21">
        <v>134833128</v>
      </c>
      <c r="C45" s="21">
        <v>167290800</v>
      </c>
      <c r="D45" s="21" t="s">
        <v>79</v>
      </c>
      <c r="E45" s="21">
        <v>106290656</v>
      </c>
    </row>
    <row r="46" spans="1:5">
      <c r="A46" s="22" t="s">
        <v>80</v>
      </c>
      <c r="B46" s="40" t="s">
        <v>124</v>
      </c>
      <c r="C46" s="40" t="s">
        <v>125</v>
      </c>
      <c r="D46" s="40" t="s">
        <v>81</v>
      </c>
      <c r="E46" s="40" t="s">
        <v>126</v>
      </c>
    </row>
    <row r="47" spans="1:5">
      <c r="A47" s="20" t="s">
        <v>82</v>
      </c>
      <c r="B47" s="21">
        <v>1270</v>
      </c>
      <c r="C47" s="21">
        <v>2417</v>
      </c>
      <c r="D47" s="21">
        <v>184</v>
      </c>
      <c r="E47" s="21">
        <v>437</v>
      </c>
    </row>
    <row r="48" spans="1:5">
      <c r="A48" s="20" t="s">
        <v>83</v>
      </c>
      <c r="B48" s="21">
        <v>5721978</v>
      </c>
      <c r="C48" s="21">
        <v>5725314</v>
      </c>
      <c r="D48" s="21" t="s">
        <v>84</v>
      </c>
      <c r="E48" s="21">
        <v>5626561</v>
      </c>
    </row>
    <row r="49" spans="1:5">
      <c r="A49" s="22" t="s">
        <v>85</v>
      </c>
      <c r="B49" s="41" t="s">
        <v>121</v>
      </c>
      <c r="C49" s="41" t="s">
        <v>122</v>
      </c>
      <c r="D49" s="41" t="s">
        <v>72</v>
      </c>
      <c r="E49" s="41" t="s">
        <v>123</v>
      </c>
    </row>
    <row r="50" spans="1:5">
      <c r="A50" s="20" t="s">
        <v>86</v>
      </c>
      <c r="B50" s="21" t="s">
        <v>89</v>
      </c>
      <c r="C50" s="21" t="s">
        <v>88</v>
      </c>
      <c r="D50" s="21" t="s">
        <v>87</v>
      </c>
      <c r="E50" s="21" t="s">
        <v>90</v>
      </c>
    </row>
    <row r="51" spans="1:5">
      <c r="A51" s="20" t="s">
        <v>91</v>
      </c>
      <c r="B51" s="21">
        <v>2992830</v>
      </c>
      <c r="C51" s="21">
        <v>94318</v>
      </c>
      <c r="D51" s="21" t="s">
        <v>92</v>
      </c>
      <c r="E51" s="21">
        <v>4241646</v>
      </c>
    </row>
    <row r="52" spans="1:5">
      <c r="A52" s="20" t="s">
        <v>93</v>
      </c>
      <c r="B52" s="21">
        <v>34678</v>
      </c>
      <c r="C52" s="21">
        <v>28622</v>
      </c>
      <c r="D52" s="21">
        <v>129.869</v>
      </c>
      <c r="E52" s="21">
        <v>57830</v>
      </c>
    </row>
    <row r="53" spans="1:5">
      <c r="A53" s="20" t="s">
        <v>94</v>
      </c>
      <c r="B53" s="21" t="s">
        <v>97</v>
      </c>
      <c r="C53" s="21" t="s">
        <v>96</v>
      </c>
      <c r="D53" s="21" t="s">
        <v>95</v>
      </c>
      <c r="E53" s="21" t="s">
        <v>98</v>
      </c>
    </row>
    <row r="54" spans="1:5">
      <c r="A54" s="20" t="s">
        <v>99</v>
      </c>
      <c r="B54" s="21">
        <v>15</v>
      </c>
      <c r="C54" s="21">
        <v>100</v>
      </c>
      <c r="D54" s="21">
        <v>9</v>
      </c>
      <c r="E54" s="21">
        <v>11</v>
      </c>
    </row>
    <row r="55" spans="1:5">
      <c r="A55" s="22" t="s">
        <v>100</v>
      </c>
      <c r="B55" s="40">
        <v>781</v>
      </c>
      <c r="C55" s="40">
        <v>1712</v>
      </c>
      <c r="D55" s="40">
        <v>19</v>
      </c>
      <c r="E55" s="40">
        <v>200</v>
      </c>
    </row>
    <row r="56" spans="1:5">
      <c r="A56" s="20" t="s">
        <v>101</v>
      </c>
      <c r="B56" s="21" t="s">
        <v>104</v>
      </c>
      <c r="C56" s="21" t="s">
        <v>103</v>
      </c>
      <c r="D56" s="21" t="s">
        <v>102</v>
      </c>
      <c r="E56" s="21" t="s">
        <v>105</v>
      </c>
    </row>
    <row r="57" spans="1:5" ht="6.45" customHeight="1"/>
    <row r="58" spans="1:5" ht="49.75">
      <c r="A58" s="47" t="s">
        <v>106</v>
      </c>
      <c r="B58" s="39">
        <f>1858788/1862751</f>
        <v>0.99787250147765316</v>
      </c>
      <c r="C58" s="39">
        <f>1860035/1862751</f>
        <v>0.9985419414618486</v>
      </c>
      <c r="D58" s="19"/>
      <c r="E58" s="39">
        <f>458948/459117</f>
        <v>0.99963190210774155</v>
      </c>
    </row>
  </sheetData>
  <mergeCells count="1">
    <mergeCell ref="B30:C30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J18011</vt:lpstr>
    </vt:vector>
  </TitlesOfParts>
  <Company>JKI-Kleinmachnow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Kloppe, Tim</dc:creator>
  <cp:lastModifiedBy>Kloppe, Tim</cp:lastModifiedBy>
  <dcterms:created xsi:type="dcterms:W3CDTF">2026-02-10T10:33:09Z</dcterms:created>
  <dcterms:modified xsi:type="dcterms:W3CDTF">2026-02-12T07:17:20Z</dcterms:modified>
</cp:coreProperties>
</file>