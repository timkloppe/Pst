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.kloppe\Documents\"/>
    </mc:Choice>
  </mc:AlternateContent>
  <xr:revisionPtr revIDLastSave="0" documentId="13_ncr:1_{46B41456-B4B7-4F7D-AFA2-D33D6CE2C313}" xr6:coauthVersionLast="47" xr6:coauthVersionMax="47" xr10:uidLastSave="{00000000-0000-0000-0000-000000000000}"/>
  <bookViews>
    <workbookView xWindow="9410" yWindow="-21600" windowWidth="19200" windowHeight="21000" xr2:uid="{42D66249-B64B-46B4-98C9-4B987C6A76C6}"/>
  </bookViews>
  <sheets>
    <sheet name="assembly_J18011 for Jan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5" i="2" l="1"/>
  <c r="C55" i="2"/>
  <c r="D55" i="2"/>
  <c r="E55" i="2"/>
  <c r="F55" i="2"/>
  <c r="G55" i="2"/>
  <c r="H55" i="2"/>
</calcChain>
</file>

<file path=xl/sharedStrings.xml><?xml version="1.0" encoding="utf-8"?>
<sst xmlns="http://schemas.openxmlformats.org/spreadsheetml/2006/main" count="142" uniqueCount="107">
  <si>
    <t>N:2409</t>
  </si>
  <si>
    <t>N ( genes assessed):</t>
  </si>
  <si>
    <t>M:5.19%, 125</t>
  </si>
  <si>
    <t>M:4.69%, 113</t>
  </si>
  <si>
    <t>M:5.52%, 133</t>
  </si>
  <si>
    <t>M (missing genes):</t>
  </si>
  <si>
    <t>I:0.00%, 0</t>
  </si>
  <si>
    <t>I (???):</t>
  </si>
  <si>
    <t>F:2.20%, 53</t>
  </si>
  <si>
    <t>F:2.16%, 52</t>
  </si>
  <si>
    <t>F:2.08%, 50</t>
  </si>
  <si>
    <t>F:2.24%, 54</t>
  </si>
  <si>
    <t>F (fragmented genes):</t>
  </si>
  <si>
    <t>D:2.99%, 72</t>
  </si>
  <si>
    <t>D:2.91%, 70</t>
  </si>
  <si>
    <t>D:3.03%, 73</t>
  </si>
  <si>
    <t>D:4.28%, 103</t>
  </si>
  <si>
    <t>D:12.41%, 299</t>
  </si>
  <si>
    <t>D (duplicated genes):</t>
  </si>
  <si>
    <t>S:89.62%, 2159</t>
  </si>
  <si>
    <t>S:89.75%, 2162</t>
  </si>
  <si>
    <t>S:88.96%, 2143</t>
  </si>
  <si>
    <t>S:79.83%, 1923</t>
  </si>
  <si>
    <t>S (complete single-copy genes)</t>
  </si>
  <si>
    <t>BUSCO</t>
  </si>
  <si>
    <t>Total largest 18 scaffolds (Chromosomes):</t>
  </si>
  <si>
    <t>primary_Chr18</t>
  </si>
  <si>
    <t>primary_Chr15</t>
  </si>
  <si>
    <t>primary_Chr16</t>
  </si>
  <si>
    <t>primary_Chr14</t>
  </si>
  <si>
    <t>primary_Chr13</t>
  </si>
  <si>
    <t>primary_Chr17</t>
  </si>
  <si>
    <t>primary_Chr11</t>
  </si>
  <si>
    <t>primary_Chr10</t>
  </si>
  <si>
    <t>primary_Chr12</t>
  </si>
  <si>
    <t>primary_Chr6</t>
  </si>
  <si>
    <t>primary_Chr5</t>
  </si>
  <si>
    <t>primary_Chr7</t>
  </si>
  <si>
    <t>primary_Chr9</t>
  </si>
  <si>
    <t>primary_Chr3</t>
  </si>
  <si>
    <t>primary_Chr2</t>
  </si>
  <si>
    <t>primary_Chr1</t>
  </si>
  <si>
    <t>primary_Chr8</t>
  </si>
  <si>
    <t>primary_Chr4</t>
  </si>
  <si>
    <t>lengths of 25 largest scaffolds ( chromosomes):</t>
  </si>
  <si>
    <t>0.44</t>
  </si>
  <si>
    <t>0.84</t>
  </si>
  <si>
    <t>0.61</t>
  </si>
  <si>
    <t>0.59</t>
  </si>
  <si>
    <t>0.64</t>
  </si>
  <si>
    <t>15.42</t>
  </si>
  <si>
    <t># N's per 100 kbp</t>
  </si>
  <si>
    <t>L90</t>
  </si>
  <si>
    <t>L50</t>
  </si>
  <si>
    <t>3788703.0</t>
  </si>
  <si>
    <t>3672821.2</t>
  </si>
  <si>
    <t>3483112.0</t>
  </si>
  <si>
    <t>3408278.9</t>
  </si>
  <si>
    <t>2809734.2</t>
  </si>
  <si>
    <t>4,229,995.3</t>
  </si>
  <si>
    <t>auN</t>
  </si>
  <si>
    <t>N90</t>
  </si>
  <si>
    <t>4,700,190</t>
  </si>
  <si>
    <t>N50</t>
  </si>
  <si>
    <t>42.81</t>
  </si>
  <si>
    <t>42.28</t>
  </si>
  <si>
    <t>41.90</t>
  </si>
  <si>
    <t>41.70</t>
  </si>
  <si>
    <t>40.62</t>
  </si>
  <si>
    <t>44.34</t>
  </si>
  <si>
    <t>GC (%)</t>
  </si>
  <si>
    <t>89,491,239</t>
  </si>
  <si>
    <t>Total length</t>
  </si>
  <si>
    <t>5,908,853</t>
  </si>
  <si>
    <t>Largest contig</t>
  </si>
  <si>
    <t># contigs</t>
  </si>
  <si>
    <t>87,508,934</t>
  </si>
  <si>
    <t>Total length (&gt;= 50000 bp)</t>
  </si>
  <si>
    <t>89,181,103</t>
  </si>
  <si>
    <t>Total length (&gt;= 25000 bp)</t>
  </si>
  <si>
    <t>89,390,655</t>
  </si>
  <si>
    <t>Total length (&gt;= 10000 bp)</t>
  </si>
  <si>
    <t>89,483,698</t>
  </si>
  <si>
    <t>Total length (&gt;= 5000 bp)</t>
  </si>
  <si>
    <t>Total length (&gt;= 1000 bp)</t>
  </si>
  <si>
    <t>Total length (&gt;= 0 bp)</t>
  </si>
  <si>
    <t># contigs (&gt;= 50000 bp)</t>
  </si>
  <si>
    <t># contigs (&gt;= 25000 bp)</t>
  </si>
  <si>
    <t># contigs (&gt;= 10000 bp)</t>
  </si>
  <si>
    <t># contigs (&gt;= 5000 bp)</t>
  </si>
  <si>
    <t># contigs (&gt;= 1000 bp)</t>
  </si>
  <si>
    <t># contigs (&gt;= 0 bp)</t>
  </si>
  <si>
    <t>QUAST</t>
  </si>
  <si>
    <t>NA</t>
  </si>
  <si>
    <t>number of contigs in primary assembly (YAHS):</t>
  </si>
  <si>
    <t>number of contigs in primary assembly (hifiasm):</t>
  </si>
  <si>
    <r>
      <t xml:space="preserve">--dual-scaf </t>
    </r>
    <r>
      <rPr>
        <b/>
        <sz val="9"/>
        <color rgb="FFC00000"/>
        <rFont val="Aptos Narrow"/>
        <family val="2"/>
        <scheme val="minor"/>
      </rPr>
      <t>OFF</t>
    </r>
  </si>
  <si>
    <r>
      <t xml:space="preserve"> --dual-scaf </t>
    </r>
    <r>
      <rPr>
        <b/>
        <sz val="9"/>
        <color rgb="FF00B050"/>
        <rFont val="Aptos Narrow"/>
        <family val="2"/>
        <scheme val="minor"/>
      </rPr>
      <t>ON</t>
    </r>
  </si>
  <si>
    <t>option:</t>
  </si>
  <si>
    <r>
      <t>J18011_FCSGXclean_hifi_reads_mitoref_cov0.9_ide0.98_nuclear_5kb-17999bpand</t>
    </r>
    <r>
      <rPr>
        <b/>
        <sz val="9"/>
        <color theme="1"/>
        <rFont val="Aptos Narrow"/>
        <family val="2"/>
        <scheme val="minor"/>
      </rPr>
      <t>18kbplus_45x</t>
    </r>
    <r>
      <rPr>
        <sz val="9"/>
        <color theme="1"/>
        <rFont val="Aptos Narrow"/>
        <family val="2"/>
        <scheme val="minor"/>
      </rPr>
      <t>.fq.gz</t>
    </r>
  </si>
  <si>
    <r>
      <t>J18011_FCSGXclean_hifi_reads_mitoref_cov0.9_ide0.98_nuclear_5kb-17999bpand</t>
    </r>
    <r>
      <rPr>
        <b/>
        <sz val="9"/>
        <color theme="1"/>
        <rFont val="Aptos Narrow"/>
        <family val="2"/>
        <scheme val="minor"/>
      </rPr>
      <t>18kbplus_60x</t>
    </r>
    <r>
      <rPr>
        <sz val="9"/>
        <color theme="1"/>
        <rFont val="Aptos Narrow"/>
        <family val="2"/>
        <scheme val="minor"/>
      </rPr>
      <t>.fq.gz</t>
    </r>
  </si>
  <si>
    <r>
      <t>J18011_FCSGXclean_hifi_reads_mitoref_cov0.9_ide0.98_nuclear_5kb-17999bpand</t>
    </r>
    <r>
      <rPr>
        <b/>
        <sz val="9"/>
        <color theme="1"/>
        <rFont val="Aptos Narrow"/>
        <family val="2"/>
        <scheme val="minor"/>
      </rPr>
      <t>18kbplus_70x</t>
    </r>
    <r>
      <rPr>
        <sz val="9"/>
        <color theme="1"/>
        <rFont val="Aptos Narrow"/>
        <family val="2"/>
        <scheme val="minor"/>
      </rPr>
      <t>.fq.gz</t>
    </r>
  </si>
  <si>
    <r>
      <t>J18011_FCSGXclean_hifi_reads_mitoref_cov0.9_ide0.98_nuclear_5kb-17999bpand</t>
    </r>
    <r>
      <rPr>
        <b/>
        <sz val="9"/>
        <color theme="1"/>
        <rFont val="Aptos Narrow"/>
        <family val="2"/>
        <scheme val="minor"/>
      </rPr>
      <t>18kbplus_80x</t>
    </r>
    <r>
      <rPr>
        <sz val="9"/>
        <color theme="1"/>
        <rFont val="Aptos Narrow"/>
        <family val="2"/>
        <scheme val="minor"/>
      </rPr>
      <t>.fq.gz</t>
    </r>
  </si>
  <si>
    <r>
      <t>J18011_FCSGXclean_hifi_reads_mitoref_cov0.9_ide0.98_nuclear_</t>
    </r>
    <r>
      <rPr>
        <b/>
        <sz val="9"/>
        <color theme="1"/>
        <rFont val="Aptos Narrow"/>
        <family val="2"/>
        <scheme val="minor"/>
      </rPr>
      <t>140x</t>
    </r>
    <r>
      <rPr>
        <sz val="9"/>
        <color theme="1"/>
        <rFont val="Aptos Narrow"/>
        <family val="2"/>
        <scheme val="minor"/>
      </rPr>
      <t>.fq.gz</t>
    </r>
  </si>
  <si>
    <r>
      <t>Pst134E36_2022-00-00</t>
    </r>
    <r>
      <rPr>
        <sz val="11"/>
        <color rgb="FF0070C0"/>
        <rFont val="Aptos Narrow"/>
        <family val="2"/>
        <scheme val="minor"/>
      </rPr>
      <t>_prim.FINAL</t>
    </r>
  </si>
  <si>
    <t>input reads:</t>
  </si>
  <si>
    <t>best so far due to dualscaf OFF ?; preselection of read lengths, ONT reads added, and srandom subset being 60x(and not 45x). Total length is still a bit too high but this must be becasue of the repeats that are Uncollapsed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</si>
</sst>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B050"/>
      <name val="Aptos Narrow"/>
      <family val="2"/>
      <scheme val="minor"/>
    </font>
    <font>
      <sz val="9"/>
      <color rgb="FFC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00B05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0070C0"/>
      <name val="Aptos Narrow"/>
      <family val="2"/>
      <scheme val="minor"/>
    </font>
    <font>
      <b/>
      <sz val="9"/>
      <color rgb="FF0070C0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i/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3" fontId="5" fillId="0" borderId="1" xfId="0" applyNumberFormat="1" applyFont="1" applyBorder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10" xfId="0" applyNumberFormat="1" applyFont="1" applyBorder="1"/>
    <xf numFmtId="3" fontId="8" fillId="0" borderId="10" xfId="0" applyNumberFormat="1" applyFont="1" applyBorder="1"/>
    <xf numFmtId="3" fontId="9" fillId="0" borderId="5" xfId="0" applyNumberFormat="1" applyFont="1" applyBorder="1"/>
    <xf numFmtId="3" fontId="9" fillId="0" borderId="0" xfId="0" applyNumberFormat="1" applyFont="1"/>
    <xf numFmtId="3" fontId="9" fillId="0" borderId="6" xfId="0" applyNumberFormat="1" applyFont="1" applyBorder="1"/>
    <xf numFmtId="3" fontId="10" fillId="0" borderId="0" xfId="0" applyNumberFormat="1" applyFont="1"/>
    <xf numFmtId="3" fontId="9" fillId="2" borderId="5" xfId="0" applyNumberFormat="1" applyFont="1" applyFill="1" applyBorder="1"/>
    <xf numFmtId="3" fontId="9" fillId="2" borderId="0" xfId="0" applyNumberFormat="1" applyFont="1" applyFill="1"/>
    <xf numFmtId="3" fontId="9" fillId="2" borderId="6" xfId="0" applyNumberFormat="1" applyFont="1" applyFill="1" applyBorder="1"/>
    <xf numFmtId="3" fontId="2" fillId="2" borderId="12" xfId="0" applyNumberFormat="1" applyFont="1" applyFill="1" applyBorder="1"/>
    <xf numFmtId="3" fontId="2" fillId="0" borderId="10" xfId="0" applyNumberFormat="1" applyFont="1" applyBorder="1"/>
    <xf numFmtId="3" fontId="2" fillId="2" borderId="10" xfId="0" applyNumberFormat="1" applyFont="1" applyFill="1" applyBorder="1"/>
    <xf numFmtId="3" fontId="2" fillId="2" borderId="11" xfId="0" applyNumberFormat="1" applyFont="1" applyFill="1" applyBorder="1"/>
    <xf numFmtId="3" fontId="11" fillId="0" borderId="10" xfId="0" applyNumberFormat="1" applyFont="1" applyBorder="1"/>
    <xf numFmtId="3" fontId="2" fillId="0" borderId="5" xfId="0" applyNumberFormat="1" applyFont="1" applyBorder="1"/>
    <xf numFmtId="3" fontId="2" fillId="0" borderId="0" xfId="0" applyNumberFormat="1" applyFont="1"/>
    <xf numFmtId="3" fontId="2" fillId="0" borderId="6" xfId="0" applyNumberFormat="1" applyFont="1" applyBorder="1"/>
    <xf numFmtId="3" fontId="11" fillId="0" borderId="0" xfId="0" applyNumberFormat="1" applyFont="1"/>
    <xf numFmtId="3" fontId="2" fillId="3" borderId="5" xfId="0" applyNumberFormat="1" applyFont="1" applyFill="1" applyBorder="1"/>
    <xf numFmtId="3" fontId="2" fillId="3" borderId="0" xfId="0" applyNumberFormat="1" applyFont="1" applyFill="1"/>
    <xf numFmtId="3" fontId="2" fillId="3" borderId="6" xfId="0" applyNumberFormat="1" applyFont="1" applyFill="1" applyBorder="1"/>
    <xf numFmtId="3" fontId="11" fillId="3" borderId="0" xfId="0" applyNumberFormat="1" applyFont="1" applyFill="1"/>
    <xf numFmtId="3" fontId="2" fillId="2" borderId="0" xfId="0" applyNumberFormat="1" applyFont="1" applyFill="1"/>
    <xf numFmtId="3" fontId="12" fillId="3" borderId="0" xfId="0" applyNumberFormat="1" applyFont="1" applyFill="1"/>
    <xf numFmtId="3" fontId="2" fillId="0" borderId="7" xfId="0" applyNumberFormat="1" applyFont="1" applyBorder="1"/>
    <xf numFmtId="3" fontId="2" fillId="0" borderId="8" xfId="0" applyNumberFormat="1" applyFont="1" applyBorder="1"/>
    <xf numFmtId="3" fontId="2" fillId="0" borderId="9" xfId="0" applyNumberFormat="1" applyFont="1" applyBorder="1"/>
    <xf numFmtId="0" fontId="8" fillId="0" borderId="0" xfId="0" applyFont="1" applyAlignment="1">
      <alignment horizontal="right"/>
    </xf>
    <xf numFmtId="0" fontId="1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2" fillId="4" borderId="5" xfId="0" applyFont="1" applyFill="1" applyBorder="1" applyAlignment="1">
      <alignment horizontal="right"/>
    </xf>
    <xf numFmtId="0" fontId="12" fillId="4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6" xfId="0" applyFont="1" applyFill="1" applyBorder="1" applyAlignment="1">
      <alignment horizontal="right"/>
    </xf>
    <xf numFmtId="0" fontId="11" fillId="4" borderId="4" xfId="0" applyFont="1" applyFill="1" applyBorder="1" applyAlignment="1">
      <alignment horizontal="right"/>
    </xf>
    <xf numFmtId="0" fontId="1" fillId="4" borderId="4" xfId="0" applyFont="1" applyFill="1" applyBorder="1" applyAlignment="1">
      <alignment horizontal="center"/>
    </xf>
    <xf numFmtId="3" fontId="2" fillId="0" borderId="5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6" xfId="0" applyNumberFormat="1" applyFont="1" applyBorder="1" applyAlignment="1">
      <alignment horizontal="right"/>
    </xf>
    <xf numFmtId="3" fontId="11" fillId="0" borderId="4" xfId="0" applyNumberFormat="1" applyFont="1" applyBorder="1" applyAlignment="1">
      <alignment horizontal="right"/>
    </xf>
    <xf numFmtId="3" fontId="13" fillId="4" borderId="5" xfId="0" applyNumberFormat="1" applyFont="1" applyFill="1" applyBorder="1" applyAlignment="1">
      <alignment horizontal="right"/>
    </xf>
    <xf numFmtId="3" fontId="12" fillId="4" borderId="0" xfId="0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right"/>
    </xf>
    <xf numFmtId="3" fontId="4" fillId="4" borderId="6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11" fillId="4" borderId="4" xfId="0" applyNumberFormat="1" applyFont="1" applyFill="1" applyBorder="1" applyAlignment="1">
      <alignment horizontal="right"/>
    </xf>
    <xf numFmtId="3" fontId="5" fillId="4" borderId="5" xfId="0" applyNumberFormat="1" applyFont="1" applyFill="1" applyBorder="1" applyAlignment="1">
      <alignment horizontal="right"/>
    </xf>
    <xf numFmtId="3" fontId="14" fillId="4" borderId="0" xfId="0" applyNumberFormat="1" applyFont="1" applyFill="1" applyAlignment="1">
      <alignment horizontal="right"/>
    </xf>
    <xf numFmtId="3" fontId="5" fillId="4" borderId="0" xfId="0" applyNumberFormat="1" applyFont="1" applyFill="1" applyAlignment="1">
      <alignment horizontal="right"/>
    </xf>
    <xf numFmtId="3" fontId="5" fillId="4" borderId="6" xfId="0" applyNumberFormat="1" applyFont="1" applyFill="1" applyBorder="1" applyAlignment="1">
      <alignment horizontal="right"/>
    </xf>
    <xf numFmtId="3" fontId="8" fillId="4" borderId="4" xfId="0" applyNumberFormat="1" applyFont="1" applyFill="1" applyBorder="1" applyAlignment="1">
      <alignment horizontal="right"/>
    </xf>
    <xf numFmtId="0" fontId="5" fillId="4" borderId="5" xfId="0" applyFont="1" applyFill="1" applyBorder="1" applyAlignment="1">
      <alignment horizontal="right"/>
    </xf>
    <xf numFmtId="0" fontId="5" fillId="4" borderId="0" xfId="0" applyFont="1" applyFill="1" applyAlignment="1">
      <alignment horizontal="right"/>
    </xf>
    <xf numFmtId="0" fontId="5" fillId="4" borderId="6" xfId="0" applyFont="1" applyFill="1" applyBorder="1" applyAlignment="1">
      <alignment horizontal="right"/>
    </xf>
    <xf numFmtId="0" fontId="8" fillId="4" borderId="4" xfId="0" applyFont="1" applyFill="1" applyBorder="1" applyAlignment="1">
      <alignment horizontal="right"/>
    </xf>
    <xf numFmtId="0" fontId="0" fillId="0" borderId="4" xfId="0" applyBorder="1" applyAlignment="1">
      <alignment horizontal="center"/>
    </xf>
    <xf numFmtId="0" fontId="2" fillId="0" borderId="7" xfId="0" applyFont="1" applyBorder="1" applyAlignment="1">
      <alignment horizontal="right"/>
    </xf>
    <xf numFmtId="0" fontId="13" fillId="0" borderId="8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15" fillId="0" borderId="4" xfId="0" applyFont="1" applyBorder="1"/>
    <xf numFmtId="0" fontId="7" fillId="0" borderId="4" xfId="0" applyFont="1" applyBorder="1" applyAlignment="1">
      <alignment horizontal="center"/>
    </xf>
    <xf numFmtId="0" fontId="5" fillId="0" borderId="13" xfId="0" applyFont="1" applyBorder="1" applyAlignment="1">
      <alignment horizontal="right" wrapText="1"/>
    </xf>
    <xf numFmtId="0" fontId="5" fillId="0" borderId="14" xfId="0" applyFont="1" applyBorder="1" applyAlignment="1">
      <alignment horizontal="right" wrapText="1"/>
    </xf>
    <xf numFmtId="0" fontId="5" fillId="0" borderId="15" xfId="0" applyFont="1" applyBorder="1" applyAlignment="1">
      <alignment horizontal="right" wrapText="1"/>
    </xf>
    <xf numFmtId="0" fontId="2" fillId="0" borderId="16" xfId="0" applyFont="1" applyBorder="1" applyAlignment="1">
      <alignment horizontal="right" wrapText="1"/>
    </xf>
    <xf numFmtId="0" fontId="2" fillId="0" borderId="17" xfId="0" applyFont="1" applyBorder="1" applyAlignment="1">
      <alignment horizontal="right" wrapText="1"/>
    </xf>
    <xf numFmtId="0" fontId="1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right" wrapText="1"/>
    </xf>
    <xf numFmtId="0" fontId="5" fillId="0" borderId="18" xfId="0" applyFont="1" applyBorder="1"/>
    <xf numFmtId="0" fontId="5" fillId="0" borderId="4" xfId="0" applyFont="1" applyBorder="1"/>
    <xf numFmtId="0" fontId="5" fillId="0" borderId="19" xfId="0" applyFont="1" applyBorder="1"/>
    <xf numFmtId="0" fontId="2" fillId="0" borderId="18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19" xfId="0" quotePrefix="1" applyFont="1" applyBorder="1" applyAlignment="1">
      <alignment horizontal="center"/>
    </xf>
    <xf numFmtId="0" fontId="2" fillId="0" borderId="16" xfId="0" quotePrefix="1" applyFont="1" applyBorder="1" applyAlignment="1">
      <alignment horizontal="center"/>
    </xf>
    <xf numFmtId="0" fontId="2" fillId="0" borderId="17" xfId="0" quotePrefix="1" applyFont="1" applyBorder="1" applyAlignment="1">
      <alignment horizontal="center"/>
    </xf>
    <xf numFmtId="0" fontId="11" fillId="0" borderId="4" xfId="0" quotePrefix="1" applyFont="1" applyBorder="1" applyAlignment="1">
      <alignment horizontal="center"/>
    </xf>
    <xf numFmtId="0" fontId="2" fillId="0" borderId="20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17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wrapText="1"/>
    </xf>
    <xf numFmtId="0" fontId="11" fillId="0" borderId="6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BEAF-FF5D-48C1-816A-6B2A7D15AD83}">
  <dimension ref="A1:H62"/>
  <sheetViews>
    <sheetView tabSelected="1" topLeftCell="A2" zoomScaleNormal="100" workbookViewId="0">
      <pane xSplit="1" ySplit="1" topLeftCell="B3" activePane="bottomRight" state="frozen"/>
      <selection activeCell="A2" sqref="A2"/>
      <selection pane="topRight" activeCell="C2" sqref="C2"/>
      <selection pane="bottomLeft" activeCell="A3" sqref="A3"/>
      <selection pane="bottomRight" activeCell="C28" sqref="C28"/>
    </sheetView>
  </sheetViews>
  <sheetFormatPr baseColWidth="10" defaultRowHeight="14.15"/>
  <cols>
    <col min="1" max="1" width="26.140625" customWidth="1"/>
    <col min="2" max="2" width="20.5703125" customWidth="1"/>
    <col min="3" max="3" width="22.28515625" style="1" customWidth="1"/>
    <col min="4" max="4" width="22.7109375" style="1" customWidth="1"/>
    <col min="5" max="7" width="17.35546875" style="1" customWidth="1"/>
    <col min="8" max="8" width="17.28515625" style="1" customWidth="1"/>
  </cols>
  <sheetData>
    <row r="1" spans="1:8" ht="43.75" customHeight="1" thickBot="1">
      <c r="E1" s="108"/>
      <c r="F1" s="108"/>
      <c r="G1" s="108" t="s">
        <v>106</v>
      </c>
    </row>
    <row r="2" spans="1:8" ht="77.599999999999994" customHeight="1">
      <c r="A2" s="107" t="s">
        <v>105</v>
      </c>
      <c r="B2" s="106" t="s">
        <v>104</v>
      </c>
      <c r="C2" s="105" t="s">
        <v>103</v>
      </c>
      <c r="D2" s="104" t="s">
        <v>103</v>
      </c>
      <c r="E2" s="103" t="s">
        <v>102</v>
      </c>
      <c r="F2" s="102" t="s">
        <v>101</v>
      </c>
      <c r="G2" s="102" t="s">
        <v>100</v>
      </c>
      <c r="H2" s="101" t="s">
        <v>99</v>
      </c>
    </row>
    <row r="3" spans="1:8">
      <c r="A3" s="91" t="s">
        <v>98</v>
      </c>
      <c r="B3" s="100" t="s">
        <v>93</v>
      </c>
      <c r="C3" s="99" t="s">
        <v>97</v>
      </c>
      <c r="D3" s="98" t="s">
        <v>96</v>
      </c>
      <c r="E3" s="97" t="s">
        <v>96</v>
      </c>
      <c r="F3" s="96" t="s">
        <v>96</v>
      </c>
      <c r="G3" s="96" t="s">
        <v>96</v>
      </c>
      <c r="H3" s="95" t="s">
        <v>96</v>
      </c>
    </row>
    <row r="4" spans="1:8" ht="42.45">
      <c r="A4" s="91" t="s">
        <v>95</v>
      </c>
      <c r="B4" s="90" t="s">
        <v>93</v>
      </c>
      <c r="C4" s="89">
        <v>1016</v>
      </c>
      <c r="D4" s="88">
        <v>1016</v>
      </c>
      <c r="E4" s="94">
        <v>491</v>
      </c>
      <c r="F4" s="93">
        <v>457</v>
      </c>
      <c r="G4" s="93">
        <v>381</v>
      </c>
      <c r="H4" s="92">
        <v>292</v>
      </c>
    </row>
    <row r="5" spans="1:8" ht="42.9" thickBot="1">
      <c r="A5" s="91" t="s">
        <v>94</v>
      </c>
      <c r="B5" s="90" t="s">
        <v>93</v>
      </c>
      <c r="C5" s="89">
        <v>1012</v>
      </c>
      <c r="D5" s="88">
        <v>1012</v>
      </c>
      <c r="E5" s="87">
        <v>488</v>
      </c>
      <c r="F5" s="86">
        <v>455</v>
      </c>
      <c r="G5" s="86">
        <v>377</v>
      </c>
      <c r="H5" s="85">
        <v>290</v>
      </c>
    </row>
    <row r="6" spans="1:8" ht="31.75" customHeight="1" thickBot="1">
      <c r="A6" s="84" t="s">
        <v>92</v>
      </c>
      <c r="B6" s="83"/>
      <c r="C6" s="17"/>
      <c r="D6" s="17"/>
    </row>
    <row r="7" spans="1:8">
      <c r="A7" s="78" t="s">
        <v>91</v>
      </c>
      <c r="B7" s="51">
        <v>184</v>
      </c>
      <c r="C7" s="5">
        <v>1012</v>
      </c>
      <c r="D7" s="5">
        <v>1012</v>
      </c>
      <c r="E7" s="82">
        <v>488</v>
      </c>
      <c r="F7" s="81">
        <v>454</v>
      </c>
      <c r="G7" s="80">
        <v>377</v>
      </c>
      <c r="H7" s="79">
        <v>290</v>
      </c>
    </row>
    <row r="8" spans="1:8">
      <c r="A8" s="78" t="s">
        <v>90</v>
      </c>
      <c r="B8" s="51">
        <v>184</v>
      </c>
      <c r="C8" s="5">
        <v>1012</v>
      </c>
      <c r="D8" s="5">
        <v>1012</v>
      </c>
      <c r="E8" s="8">
        <v>488</v>
      </c>
      <c r="F8" s="5">
        <v>454</v>
      </c>
      <c r="G8" s="5">
        <v>377</v>
      </c>
      <c r="H8" s="7">
        <v>290</v>
      </c>
    </row>
    <row r="9" spans="1:8">
      <c r="A9" s="78" t="s">
        <v>89</v>
      </c>
      <c r="B9" s="51">
        <v>182</v>
      </c>
      <c r="C9" s="5">
        <v>1012</v>
      </c>
      <c r="D9" s="5">
        <v>1012</v>
      </c>
      <c r="E9" s="8">
        <v>488</v>
      </c>
      <c r="F9" s="5">
        <v>454</v>
      </c>
      <c r="G9" s="5">
        <v>377</v>
      </c>
      <c r="H9" s="7">
        <v>290</v>
      </c>
    </row>
    <row r="10" spans="1:8">
      <c r="A10" s="78" t="s">
        <v>88</v>
      </c>
      <c r="B10" s="51">
        <v>170</v>
      </c>
      <c r="C10" s="5">
        <v>1012</v>
      </c>
      <c r="D10" s="5">
        <v>1012</v>
      </c>
      <c r="E10" s="8">
        <v>488</v>
      </c>
      <c r="F10" s="5">
        <v>454</v>
      </c>
      <c r="G10" s="5">
        <v>377</v>
      </c>
      <c r="H10" s="7">
        <v>289</v>
      </c>
    </row>
    <row r="11" spans="1:8">
      <c r="A11" s="78" t="s">
        <v>87</v>
      </c>
      <c r="B11" s="51">
        <v>157</v>
      </c>
      <c r="C11" s="5">
        <v>879</v>
      </c>
      <c r="D11" s="5">
        <v>879</v>
      </c>
      <c r="E11" s="8">
        <v>449</v>
      </c>
      <c r="F11" s="5">
        <v>410</v>
      </c>
      <c r="G11" s="5">
        <v>345</v>
      </c>
      <c r="H11" s="7">
        <v>261</v>
      </c>
    </row>
    <row r="12" spans="1:8">
      <c r="A12" s="58" t="s">
        <v>86</v>
      </c>
      <c r="B12" s="77">
        <v>112</v>
      </c>
      <c r="C12" s="75">
        <v>353</v>
      </c>
      <c r="D12" s="75">
        <v>353</v>
      </c>
      <c r="E12" s="76">
        <v>192</v>
      </c>
      <c r="F12" s="75">
        <v>175</v>
      </c>
      <c r="G12" s="75">
        <v>145</v>
      </c>
      <c r="H12" s="74">
        <v>106</v>
      </c>
    </row>
    <row r="13" spans="1:8">
      <c r="A13" s="52" t="s">
        <v>85</v>
      </c>
      <c r="B13" s="62" t="s">
        <v>71</v>
      </c>
      <c r="C13" s="60">
        <v>125393534</v>
      </c>
      <c r="D13" s="60">
        <v>125393534</v>
      </c>
      <c r="E13" s="61">
        <v>100891866</v>
      </c>
      <c r="F13" s="60">
        <v>98269203</v>
      </c>
      <c r="G13" s="60">
        <v>94814497</v>
      </c>
      <c r="H13" s="59">
        <v>90067058</v>
      </c>
    </row>
    <row r="14" spans="1:8">
      <c r="A14" s="52" t="s">
        <v>84</v>
      </c>
      <c r="B14" s="62" t="s">
        <v>71</v>
      </c>
      <c r="C14" s="60">
        <v>125393534</v>
      </c>
      <c r="D14" s="60">
        <v>125393534</v>
      </c>
      <c r="E14" s="61">
        <v>100891866</v>
      </c>
      <c r="F14" s="60">
        <v>98269203</v>
      </c>
      <c r="G14" s="60">
        <v>94814497</v>
      </c>
      <c r="H14" s="59">
        <v>90067058</v>
      </c>
    </row>
    <row r="15" spans="1:8">
      <c r="A15" s="52" t="s">
        <v>83</v>
      </c>
      <c r="B15" s="62" t="s">
        <v>82</v>
      </c>
      <c r="C15" s="60">
        <v>125393534</v>
      </c>
      <c r="D15" s="60">
        <v>125393534</v>
      </c>
      <c r="E15" s="61">
        <v>100891866</v>
      </c>
      <c r="F15" s="60">
        <v>98269203</v>
      </c>
      <c r="G15" s="60">
        <v>94814497</v>
      </c>
      <c r="H15" s="59">
        <v>90067058</v>
      </c>
    </row>
    <row r="16" spans="1:8">
      <c r="A16" s="52" t="s">
        <v>81</v>
      </c>
      <c r="B16" s="62" t="s">
        <v>80</v>
      </c>
      <c r="C16" s="60">
        <v>125393534</v>
      </c>
      <c r="D16" s="60">
        <v>125393534</v>
      </c>
      <c r="E16" s="61">
        <v>100891866</v>
      </c>
      <c r="F16" s="60">
        <v>98269203</v>
      </c>
      <c r="G16" s="60">
        <v>94814497</v>
      </c>
      <c r="H16" s="59">
        <v>90058354</v>
      </c>
    </row>
    <row r="17" spans="1:8">
      <c r="A17" s="52" t="s">
        <v>79</v>
      </c>
      <c r="B17" s="62" t="s">
        <v>78</v>
      </c>
      <c r="C17" s="60">
        <v>122427516</v>
      </c>
      <c r="D17" s="60">
        <v>122427516</v>
      </c>
      <c r="E17" s="61">
        <v>100019857</v>
      </c>
      <c r="F17" s="60">
        <v>97266728</v>
      </c>
      <c r="G17" s="60">
        <v>94107570</v>
      </c>
      <c r="H17" s="59">
        <v>89421273</v>
      </c>
    </row>
    <row r="18" spans="1:8">
      <c r="A18" s="58" t="s">
        <v>77</v>
      </c>
      <c r="B18" s="73" t="s">
        <v>76</v>
      </c>
      <c r="C18" s="71">
        <v>103679361</v>
      </c>
      <c r="D18" s="71">
        <v>103679361</v>
      </c>
      <c r="E18" s="72">
        <v>90676496</v>
      </c>
      <c r="F18" s="71">
        <v>88885028</v>
      </c>
      <c r="G18" s="70">
        <v>86864536</v>
      </c>
      <c r="H18" s="69">
        <v>83660071</v>
      </c>
    </row>
    <row r="19" spans="1:8">
      <c r="A19" s="52" t="s">
        <v>75</v>
      </c>
      <c r="B19" s="51">
        <v>184</v>
      </c>
      <c r="C19" s="5">
        <v>1012</v>
      </c>
      <c r="D19" s="5">
        <v>1012</v>
      </c>
      <c r="E19" s="8">
        <v>488</v>
      </c>
      <c r="F19" s="5">
        <v>454</v>
      </c>
      <c r="G19" s="5">
        <v>377</v>
      </c>
      <c r="H19" s="7">
        <v>290</v>
      </c>
    </row>
    <row r="20" spans="1:8">
      <c r="A20" s="52" t="s">
        <v>74</v>
      </c>
      <c r="B20" s="62" t="s">
        <v>73</v>
      </c>
      <c r="C20" s="60">
        <v>5721974</v>
      </c>
      <c r="D20" s="60">
        <v>5721974</v>
      </c>
      <c r="E20" s="61">
        <v>5687122</v>
      </c>
      <c r="F20" s="60">
        <v>5687017</v>
      </c>
      <c r="G20" s="60">
        <v>5730062</v>
      </c>
      <c r="H20" s="59">
        <v>5736476</v>
      </c>
    </row>
    <row r="21" spans="1:8">
      <c r="A21" s="58" t="s">
        <v>72</v>
      </c>
      <c r="B21" s="68" t="s">
        <v>71</v>
      </c>
      <c r="C21" s="65">
        <v>125393534</v>
      </c>
      <c r="D21" s="67">
        <v>125393534</v>
      </c>
      <c r="E21" s="66">
        <v>100891866</v>
      </c>
      <c r="F21" s="65">
        <v>98269203</v>
      </c>
      <c r="G21" s="64">
        <v>94814497</v>
      </c>
      <c r="H21" s="63">
        <v>90067058</v>
      </c>
    </row>
    <row r="22" spans="1:8">
      <c r="A22" s="52" t="s">
        <v>70</v>
      </c>
      <c r="B22" s="51" t="s">
        <v>69</v>
      </c>
      <c r="C22" s="5" t="s">
        <v>68</v>
      </c>
      <c r="D22" s="5" t="s">
        <v>68</v>
      </c>
      <c r="E22" s="8" t="s">
        <v>67</v>
      </c>
      <c r="F22" s="5" t="s">
        <v>66</v>
      </c>
      <c r="G22" s="5" t="s">
        <v>65</v>
      </c>
      <c r="H22" s="7" t="s">
        <v>64</v>
      </c>
    </row>
    <row r="23" spans="1:8">
      <c r="A23" s="52" t="s">
        <v>63</v>
      </c>
      <c r="B23" s="62" t="s">
        <v>62</v>
      </c>
      <c r="C23" s="60">
        <v>3288250</v>
      </c>
      <c r="D23" s="60">
        <v>3288250</v>
      </c>
      <c r="E23" s="61">
        <v>4507235</v>
      </c>
      <c r="F23" s="60">
        <v>4504772</v>
      </c>
      <c r="G23" s="60">
        <v>4480367</v>
      </c>
      <c r="H23" s="59">
        <v>4592877</v>
      </c>
    </row>
    <row r="24" spans="1:8">
      <c r="A24" s="52" t="s">
        <v>61</v>
      </c>
      <c r="B24" s="51">
        <v>129.869</v>
      </c>
      <c r="C24" s="5">
        <v>36876</v>
      </c>
      <c r="D24" s="5">
        <v>36876</v>
      </c>
      <c r="E24" s="8">
        <v>49708</v>
      </c>
      <c r="F24" s="5">
        <v>51695</v>
      </c>
      <c r="G24" s="5">
        <v>54559</v>
      </c>
      <c r="H24" s="7">
        <v>71012</v>
      </c>
    </row>
    <row r="25" spans="1:8">
      <c r="A25" s="52" t="s">
        <v>60</v>
      </c>
      <c r="B25" s="62" t="s">
        <v>59</v>
      </c>
      <c r="C25" s="60" t="s">
        <v>58</v>
      </c>
      <c r="D25" s="60" t="s">
        <v>58</v>
      </c>
      <c r="E25" s="61" t="s">
        <v>57</v>
      </c>
      <c r="F25" s="60" t="s">
        <v>56</v>
      </c>
      <c r="G25" s="60" t="s">
        <v>55</v>
      </c>
      <c r="H25" s="59" t="s">
        <v>54</v>
      </c>
    </row>
    <row r="26" spans="1:8">
      <c r="A26" s="52" t="s">
        <v>53</v>
      </c>
      <c r="B26" s="51">
        <v>9</v>
      </c>
      <c r="C26" s="5">
        <v>14</v>
      </c>
      <c r="D26" s="5">
        <v>14</v>
      </c>
      <c r="E26" s="8">
        <v>10</v>
      </c>
      <c r="F26" s="5">
        <v>10</v>
      </c>
      <c r="G26" s="5">
        <v>10</v>
      </c>
      <c r="H26" s="7">
        <v>9</v>
      </c>
    </row>
    <row r="27" spans="1:8">
      <c r="A27" s="58" t="s">
        <v>52</v>
      </c>
      <c r="B27" s="57">
        <v>19</v>
      </c>
      <c r="C27" s="55">
        <v>568</v>
      </c>
      <c r="D27" s="55">
        <v>568</v>
      </c>
      <c r="E27" s="56">
        <v>195</v>
      </c>
      <c r="F27" s="55">
        <v>167</v>
      </c>
      <c r="G27" s="54">
        <v>116</v>
      </c>
      <c r="H27" s="53">
        <v>62</v>
      </c>
    </row>
    <row r="28" spans="1:8" ht="14.6" thickBot="1">
      <c r="A28" s="52" t="s">
        <v>51</v>
      </c>
      <c r="B28" s="51" t="s">
        <v>50</v>
      </c>
      <c r="C28" s="5" t="s">
        <v>49</v>
      </c>
      <c r="D28" s="5" t="s">
        <v>49</v>
      </c>
      <c r="E28" s="4" t="s">
        <v>48</v>
      </c>
      <c r="F28" s="3" t="s">
        <v>47</v>
      </c>
      <c r="G28" s="3" t="s">
        <v>46</v>
      </c>
      <c r="H28" s="2" t="s">
        <v>45</v>
      </c>
    </row>
    <row r="29" spans="1:8" ht="42.9" customHeight="1" thickBot="1">
      <c r="A29" s="109" t="s">
        <v>44</v>
      </c>
      <c r="B29" s="50"/>
      <c r="C29" s="50"/>
      <c r="D29" s="50"/>
      <c r="E29" s="50"/>
      <c r="F29" s="50"/>
      <c r="G29" s="50"/>
      <c r="H29" s="50"/>
    </row>
    <row r="30" spans="1:8">
      <c r="A30" s="110" t="s">
        <v>43</v>
      </c>
      <c r="B30" s="40">
        <v>5908853</v>
      </c>
      <c r="C30" s="38">
        <v>5721974</v>
      </c>
      <c r="D30" s="38">
        <v>5721974</v>
      </c>
      <c r="E30" s="49">
        <v>5687122</v>
      </c>
      <c r="F30" s="48">
        <v>5687017</v>
      </c>
      <c r="G30" s="48">
        <v>5730062</v>
      </c>
      <c r="H30" s="47">
        <v>5736476</v>
      </c>
    </row>
    <row r="31" spans="1:8">
      <c r="A31" s="111" t="s">
        <v>42</v>
      </c>
      <c r="B31" s="44">
        <v>5694420</v>
      </c>
      <c r="C31" s="46">
        <v>5635435</v>
      </c>
      <c r="D31" s="46">
        <v>5635435</v>
      </c>
      <c r="E31" s="43">
        <v>5655638</v>
      </c>
      <c r="F31" s="42">
        <v>5499665</v>
      </c>
      <c r="G31" s="42">
        <v>5499668</v>
      </c>
      <c r="H31" s="41">
        <v>5354575</v>
      </c>
    </row>
    <row r="32" spans="1:8">
      <c r="A32" s="111" t="s">
        <v>41</v>
      </c>
      <c r="B32" s="44">
        <v>5665977</v>
      </c>
      <c r="C32" s="46">
        <v>5374539</v>
      </c>
      <c r="D32" s="42">
        <v>5374539</v>
      </c>
      <c r="E32" s="43">
        <v>5354203</v>
      </c>
      <c r="F32" s="42">
        <v>5354209</v>
      </c>
      <c r="G32" s="42">
        <v>5354210</v>
      </c>
      <c r="H32" s="41">
        <v>5354184</v>
      </c>
    </row>
    <row r="33" spans="1:8">
      <c r="A33" s="111" t="s">
        <v>40</v>
      </c>
      <c r="B33" s="44">
        <v>5504627</v>
      </c>
      <c r="C33" s="46">
        <v>5324762</v>
      </c>
      <c r="D33" s="42">
        <v>5324762</v>
      </c>
      <c r="E33" s="43">
        <v>5320644</v>
      </c>
      <c r="F33" s="42">
        <v>5320646</v>
      </c>
      <c r="G33" s="42">
        <v>5320687</v>
      </c>
      <c r="H33" s="41">
        <v>5320545</v>
      </c>
    </row>
    <row r="34" spans="1:8">
      <c r="A34" s="111" t="s">
        <v>39</v>
      </c>
      <c r="B34" s="44">
        <v>5461712</v>
      </c>
      <c r="C34" s="46">
        <v>4992905</v>
      </c>
      <c r="D34" s="42">
        <v>4992905</v>
      </c>
      <c r="E34" s="43">
        <v>5007573</v>
      </c>
      <c r="F34" s="42">
        <v>5003135</v>
      </c>
      <c r="G34" s="42">
        <v>5019806</v>
      </c>
      <c r="H34" s="41">
        <v>5002556</v>
      </c>
    </row>
    <row r="35" spans="1:8">
      <c r="A35" s="111" t="s">
        <v>38</v>
      </c>
      <c r="B35" s="44">
        <v>5257604</v>
      </c>
      <c r="C35" s="46">
        <v>4982560</v>
      </c>
      <c r="D35" s="42">
        <v>4982560</v>
      </c>
      <c r="E35" s="43">
        <v>4975301</v>
      </c>
      <c r="F35" s="42">
        <v>4975234</v>
      </c>
      <c r="G35" s="42">
        <v>4946014</v>
      </c>
      <c r="H35" s="41">
        <v>4957157</v>
      </c>
    </row>
    <row r="36" spans="1:8">
      <c r="A36" s="110" t="s">
        <v>37</v>
      </c>
      <c r="B36" s="40">
        <v>5047888</v>
      </c>
      <c r="C36" s="38">
        <v>4859518</v>
      </c>
      <c r="D36" s="38">
        <v>4859518</v>
      </c>
      <c r="E36" s="39">
        <v>4853959</v>
      </c>
      <c r="F36" s="38">
        <v>4876691</v>
      </c>
      <c r="G36" s="38">
        <v>4859440</v>
      </c>
      <c r="H36" s="37">
        <v>4876617</v>
      </c>
    </row>
    <row r="37" spans="1:8">
      <c r="A37" s="110" t="s">
        <v>36</v>
      </c>
      <c r="B37" s="40">
        <v>4769362</v>
      </c>
      <c r="C37" s="38">
        <v>4785770</v>
      </c>
      <c r="D37" s="38">
        <v>4785770</v>
      </c>
      <c r="E37" s="39">
        <v>4758619</v>
      </c>
      <c r="F37" s="38">
        <v>4758280</v>
      </c>
      <c r="G37" s="38">
        <v>4785766</v>
      </c>
      <c r="H37" s="37">
        <v>4785753</v>
      </c>
    </row>
    <row r="38" spans="1:8">
      <c r="A38" s="110" t="s">
        <v>35</v>
      </c>
      <c r="B38" s="40">
        <v>4700190</v>
      </c>
      <c r="C38" s="38">
        <v>4581429</v>
      </c>
      <c r="D38" s="38">
        <v>4581429</v>
      </c>
      <c r="E38" s="39">
        <v>4593102</v>
      </c>
      <c r="F38" s="38">
        <v>4593104</v>
      </c>
      <c r="G38" s="38">
        <v>4593140</v>
      </c>
      <c r="H38" s="37">
        <v>4592877</v>
      </c>
    </row>
    <row r="39" spans="1:8">
      <c r="A39" s="111" t="s">
        <v>34</v>
      </c>
      <c r="B39" s="44">
        <v>4478604</v>
      </c>
      <c r="C39" s="46">
        <v>4490768</v>
      </c>
      <c r="D39" s="46">
        <v>4490768</v>
      </c>
      <c r="E39" s="43">
        <v>4507235</v>
      </c>
      <c r="F39" s="42">
        <v>4504772</v>
      </c>
      <c r="G39" s="42">
        <v>4480367</v>
      </c>
      <c r="H39" s="41">
        <v>4475961</v>
      </c>
    </row>
    <row r="40" spans="1:8">
      <c r="A40" s="111" t="s">
        <v>33</v>
      </c>
      <c r="B40" s="44">
        <v>4411332</v>
      </c>
      <c r="C40" s="42">
        <v>4304441</v>
      </c>
      <c r="D40" s="42">
        <v>4304441</v>
      </c>
      <c r="E40" s="43">
        <v>4304184</v>
      </c>
      <c r="F40" s="42">
        <v>4304141</v>
      </c>
      <c r="G40" s="42">
        <v>4337031</v>
      </c>
      <c r="H40" s="41">
        <v>4337032</v>
      </c>
    </row>
    <row r="41" spans="1:8">
      <c r="A41" s="110" t="s">
        <v>32</v>
      </c>
      <c r="B41" s="40">
        <v>4193600</v>
      </c>
      <c r="C41" s="38">
        <v>4073927</v>
      </c>
      <c r="D41" s="38">
        <v>4073927</v>
      </c>
      <c r="E41" s="39">
        <v>4024333</v>
      </c>
      <c r="F41" s="38">
        <v>4035345</v>
      </c>
      <c r="G41" s="38">
        <v>4023029</v>
      </c>
      <c r="H41" s="37">
        <v>4071844</v>
      </c>
    </row>
    <row r="42" spans="1:8">
      <c r="A42" s="110" t="s">
        <v>31</v>
      </c>
      <c r="B42" s="40">
        <v>3898959</v>
      </c>
      <c r="C42" s="38">
        <v>3400724</v>
      </c>
      <c r="D42" s="38">
        <v>3400724</v>
      </c>
      <c r="E42" s="39">
        <v>3285506</v>
      </c>
      <c r="F42" s="38">
        <v>3285497</v>
      </c>
      <c r="G42" s="45">
        <v>3393550</v>
      </c>
      <c r="H42" s="37">
        <v>3285476</v>
      </c>
    </row>
    <row r="43" spans="1:8">
      <c r="A43" s="111" t="s">
        <v>30</v>
      </c>
      <c r="B43" s="44">
        <v>3376575</v>
      </c>
      <c r="C43" s="42">
        <v>3288250</v>
      </c>
      <c r="D43" s="42">
        <v>3288250</v>
      </c>
      <c r="E43" s="43">
        <v>3007282</v>
      </c>
      <c r="F43" s="42">
        <v>3007281</v>
      </c>
      <c r="G43" s="42">
        <v>3285481</v>
      </c>
      <c r="H43" s="41">
        <v>3007560</v>
      </c>
    </row>
    <row r="44" spans="1:8">
      <c r="A44" s="111" t="s">
        <v>29</v>
      </c>
      <c r="B44" s="44">
        <v>3359773</v>
      </c>
      <c r="C44" s="42">
        <v>2992830</v>
      </c>
      <c r="D44" s="42">
        <v>2992830</v>
      </c>
      <c r="E44" s="43">
        <v>2993167</v>
      </c>
      <c r="F44" s="42">
        <v>2988446</v>
      </c>
      <c r="G44" s="42">
        <v>3007717</v>
      </c>
      <c r="H44" s="41">
        <v>2988307</v>
      </c>
    </row>
    <row r="45" spans="1:8">
      <c r="A45" s="110" t="s">
        <v>28</v>
      </c>
      <c r="B45" s="40">
        <v>3034556</v>
      </c>
      <c r="C45" s="38">
        <v>2987982</v>
      </c>
      <c r="D45" s="38">
        <v>2987982</v>
      </c>
      <c r="E45" s="39">
        <v>2747859</v>
      </c>
      <c r="F45" s="38">
        <v>2747857</v>
      </c>
      <c r="G45" s="38">
        <v>2988818</v>
      </c>
      <c r="H45" s="37">
        <v>2744795</v>
      </c>
    </row>
    <row r="46" spans="1:8">
      <c r="A46" s="110" t="s">
        <v>27</v>
      </c>
      <c r="B46" s="40">
        <v>2922581</v>
      </c>
      <c r="C46" s="38">
        <v>2752958</v>
      </c>
      <c r="D46" s="38">
        <v>2752958</v>
      </c>
      <c r="E46" s="39">
        <v>2613882</v>
      </c>
      <c r="F46" s="38">
        <v>2613156</v>
      </c>
      <c r="G46" s="38">
        <v>2741027</v>
      </c>
      <c r="H46" s="37">
        <v>2613876</v>
      </c>
    </row>
    <row r="47" spans="1:8" ht="14.6" thickBot="1">
      <c r="A47" s="112" t="s">
        <v>26</v>
      </c>
      <c r="B47" s="36">
        <v>2762633</v>
      </c>
      <c r="C47" s="33">
        <v>2614786</v>
      </c>
      <c r="D47" s="33">
        <v>2614786</v>
      </c>
      <c r="E47" s="35">
        <v>1910203</v>
      </c>
      <c r="F47" s="34">
        <v>1957544</v>
      </c>
      <c r="G47" s="33">
        <v>2613156</v>
      </c>
      <c r="H47" s="32">
        <v>1991849</v>
      </c>
    </row>
    <row r="48" spans="1:8" ht="14.6" thickTop="1">
      <c r="A48" s="113">
        <v>19</v>
      </c>
      <c r="B48" s="28">
        <v>129869</v>
      </c>
      <c r="C48" s="26">
        <v>494384</v>
      </c>
      <c r="D48" s="26">
        <v>494384</v>
      </c>
      <c r="E48" s="31">
        <v>1401193</v>
      </c>
      <c r="F48" s="30">
        <v>1399211</v>
      </c>
      <c r="G48" s="26">
        <v>222388</v>
      </c>
      <c r="H48" s="29">
        <v>1399212</v>
      </c>
    </row>
    <row r="49" spans="1:8">
      <c r="A49" s="113">
        <v>20</v>
      </c>
      <c r="B49" s="28">
        <v>128065</v>
      </c>
      <c r="C49" s="26">
        <v>307605</v>
      </c>
      <c r="D49" s="26">
        <v>307605</v>
      </c>
      <c r="E49" s="27">
        <v>216385</v>
      </c>
      <c r="F49" s="26">
        <v>202873</v>
      </c>
      <c r="G49" s="26">
        <v>219174</v>
      </c>
      <c r="H49" s="25">
        <v>157380</v>
      </c>
    </row>
    <row r="50" spans="1:8">
      <c r="A50" s="113">
        <v>21</v>
      </c>
      <c r="B50" s="28">
        <v>122675</v>
      </c>
      <c r="C50" s="26">
        <v>231707</v>
      </c>
      <c r="D50" s="26">
        <v>231707</v>
      </c>
      <c r="E50" s="27">
        <v>191693</v>
      </c>
      <c r="F50" s="26">
        <v>173256</v>
      </c>
      <c r="G50" s="26">
        <v>197107</v>
      </c>
      <c r="H50" s="25">
        <v>149063</v>
      </c>
    </row>
    <row r="51" spans="1:8">
      <c r="A51" s="113">
        <v>22</v>
      </c>
      <c r="B51" s="28">
        <v>119180</v>
      </c>
      <c r="C51" s="26">
        <v>185321</v>
      </c>
      <c r="D51" s="26">
        <v>185321</v>
      </c>
      <c r="E51" s="27">
        <v>180708</v>
      </c>
      <c r="F51" s="26">
        <v>155046</v>
      </c>
      <c r="G51" s="26">
        <v>183319</v>
      </c>
      <c r="H51" s="25">
        <v>143374</v>
      </c>
    </row>
    <row r="52" spans="1:8">
      <c r="A52" s="113">
        <v>23</v>
      </c>
      <c r="B52" s="28">
        <v>114979</v>
      </c>
      <c r="C52" s="26">
        <v>184063</v>
      </c>
      <c r="D52" s="26">
        <v>184063</v>
      </c>
      <c r="E52" s="27">
        <v>174170</v>
      </c>
      <c r="F52" s="26">
        <v>154049</v>
      </c>
      <c r="G52" s="26">
        <v>175772</v>
      </c>
      <c r="H52" s="25">
        <v>140839</v>
      </c>
    </row>
    <row r="53" spans="1:8">
      <c r="A53" s="113">
        <v>24</v>
      </c>
      <c r="B53" s="28">
        <v>114426</v>
      </c>
      <c r="C53" s="26">
        <v>182843</v>
      </c>
      <c r="D53" s="26">
        <v>182843</v>
      </c>
      <c r="E53" s="27">
        <v>168830</v>
      </c>
      <c r="F53" s="26">
        <v>151273</v>
      </c>
      <c r="G53" s="26">
        <v>158919</v>
      </c>
      <c r="H53" s="25">
        <v>137800</v>
      </c>
    </row>
    <row r="54" spans="1:8">
      <c r="A54" s="113">
        <v>25</v>
      </c>
      <c r="B54" s="28">
        <v>112476</v>
      </c>
      <c r="C54" s="26">
        <v>179724</v>
      </c>
      <c r="D54" s="26">
        <v>179724</v>
      </c>
      <c r="E54" s="27">
        <v>156827</v>
      </c>
      <c r="F54" s="26">
        <v>145214</v>
      </c>
      <c r="G54" s="26">
        <v>152666</v>
      </c>
      <c r="H54" s="25">
        <v>132614</v>
      </c>
    </row>
    <row r="55" spans="1:8" ht="28.75" thickBot="1">
      <c r="A55" s="114" t="s">
        <v>25</v>
      </c>
      <c r="B55" s="24">
        <f>SUM(B30:B47)</f>
        <v>80449246</v>
      </c>
      <c r="C55" s="23">
        <f>SUM(C30:C47)</f>
        <v>77165558</v>
      </c>
      <c r="D55" s="23">
        <f>SUM(D30:D47)</f>
        <v>77165558</v>
      </c>
      <c r="E55" s="22">
        <f>SUM(E30:E48)</f>
        <v>77001005</v>
      </c>
      <c r="F55" s="21">
        <f>SUM(F30:F48)</f>
        <v>76911231</v>
      </c>
      <c r="G55" s="21">
        <f>SUM(G30:G47)</f>
        <v>76978969</v>
      </c>
      <c r="H55" s="20">
        <f>SUM(H30:H48)</f>
        <v>76896652</v>
      </c>
    </row>
    <row r="56" spans="1:8" ht="31.3" customHeight="1" thickTop="1" thickBot="1">
      <c r="A56" s="19" t="s">
        <v>24</v>
      </c>
      <c r="B56" s="18"/>
      <c r="C56" s="17"/>
      <c r="D56" s="17"/>
    </row>
    <row r="57" spans="1:8" ht="28.3">
      <c r="A57" s="115" t="s">
        <v>23</v>
      </c>
      <c r="B57" s="16" t="s">
        <v>22</v>
      </c>
      <c r="C57" s="15" t="s">
        <v>21</v>
      </c>
      <c r="D57" s="15" t="s">
        <v>21</v>
      </c>
      <c r="E57" s="14" t="s">
        <v>19</v>
      </c>
      <c r="F57" s="13" t="s">
        <v>20</v>
      </c>
      <c r="G57" s="12" t="s">
        <v>19</v>
      </c>
      <c r="H57" s="11" t="s">
        <v>19</v>
      </c>
    </row>
    <row r="58" spans="1:8">
      <c r="A58" s="78" t="s">
        <v>18</v>
      </c>
      <c r="B58" s="6" t="s">
        <v>17</v>
      </c>
      <c r="C58" s="5" t="s">
        <v>16</v>
      </c>
      <c r="D58" s="10" t="s">
        <v>16</v>
      </c>
      <c r="E58" s="8" t="s">
        <v>15</v>
      </c>
      <c r="F58" s="9" t="s">
        <v>14</v>
      </c>
      <c r="G58" s="5" t="s">
        <v>13</v>
      </c>
      <c r="H58" s="7" t="s">
        <v>13</v>
      </c>
    </row>
    <row r="59" spans="1:8">
      <c r="A59" s="78" t="s">
        <v>12</v>
      </c>
      <c r="B59" s="6" t="s">
        <v>11</v>
      </c>
      <c r="C59" s="5" t="s">
        <v>10</v>
      </c>
      <c r="D59" s="5" t="s">
        <v>10</v>
      </c>
      <c r="E59" s="8" t="s">
        <v>9</v>
      </c>
      <c r="F59" s="5" t="s">
        <v>9</v>
      </c>
      <c r="G59" s="5" t="s">
        <v>8</v>
      </c>
      <c r="H59" s="7" t="s">
        <v>8</v>
      </c>
    </row>
    <row r="60" spans="1:8">
      <c r="A60" s="78" t="s">
        <v>7</v>
      </c>
      <c r="B60" s="6" t="s">
        <v>6</v>
      </c>
      <c r="C60" s="5" t="s">
        <v>6</v>
      </c>
      <c r="D60" s="5" t="s">
        <v>6</v>
      </c>
      <c r="E60" s="8" t="s">
        <v>6</v>
      </c>
      <c r="F60" s="5" t="s">
        <v>6</v>
      </c>
      <c r="G60" s="5" t="s">
        <v>6</v>
      </c>
      <c r="H60" s="7" t="s">
        <v>6</v>
      </c>
    </row>
    <row r="61" spans="1:8">
      <c r="A61" s="78" t="s">
        <v>5</v>
      </c>
      <c r="B61" s="6" t="s">
        <v>4</v>
      </c>
      <c r="C61" s="5" t="s">
        <v>3</v>
      </c>
      <c r="D61" s="9" t="s">
        <v>3</v>
      </c>
      <c r="E61" s="8" t="s">
        <v>2</v>
      </c>
      <c r="F61" s="5" t="s">
        <v>2</v>
      </c>
      <c r="G61" s="5" t="s">
        <v>2</v>
      </c>
      <c r="H61" s="7" t="s">
        <v>2</v>
      </c>
    </row>
    <row r="62" spans="1:8" ht="14.6" thickBot="1">
      <c r="A62" s="78" t="s">
        <v>1</v>
      </c>
      <c r="B62" s="6">
        <v>2409</v>
      </c>
      <c r="C62" s="5" t="s">
        <v>0</v>
      </c>
      <c r="D62" s="5" t="s">
        <v>0</v>
      </c>
      <c r="E62" s="4" t="s">
        <v>0</v>
      </c>
      <c r="F62" s="3" t="s">
        <v>0</v>
      </c>
      <c r="G62" s="3" t="s">
        <v>0</v>
      </c>
      <c r="H62" s="2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assembly_J18011 for Jana</vt:lpstr>
    </vt:vector>
  </TitlesOfParts>
  <Company>JKI-Kleinmachnow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Kloppe, Tim</dc:creator>
  <cp:lastModifiedBy>Kloppe, Tim</cp:lastModifiedBy>
  <dcterms:created xsi:type="dcterms:W3CDTF">2026-04-09T09:32:45Z</dcterms:created>
  <dcterms:modified xsi:type="dcterms:W3CDTF">2026-04-09T09:34:49Z</dcterms:modified>
</cp:coreProperties>
</file>